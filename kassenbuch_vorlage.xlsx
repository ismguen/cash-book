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ismailg/Desktop/"/>
    </mc:Choice>
  </mc:AlternateContent>
  <xr:revisionPtr revIDLastSave="0" documentId="13_ncr:1_{45B8F810-8FEE-D747-9269-315BE411023A}" xr6:coauthVersionLast="47" xr6:coauthVersionMax="47" xr10:uidLastSave="{00000000-0000-0000-0000-000000000000}"/>
  <bookViews>
    <workbookView xWindow="0" yWindow="620" windowWidth="38400" windowHeight="20980" activeTab="12" xr2:uid="{00000000-000D-0000-FFFF-FFFF00000000}"/>
  </bookViews>
  <sheets>
    <sheet name="Jahresübersicht" sheetId="1" r:id="rId1"/>
    <sheet name="Januar" sheetId="2" r:id="rId2"/>
    <sheet name="Februar" sheetId="3" r:id="rId3"/>
    <sheet name="März" sheetId="4" r:id="rId4"/>
    <sheet name="April" sheetId="5" r:id="rId5"/>
    <sheet name="Mai" sheetId="6" r:id="rId6"/>
    <sheet name="Juni" sheetId="7" r:id="rId7"/>
    <sheet name="Juli" sheetId="8" r:id="rId8"/>
    <sheet name="August" sheetId="9" r:id="rId9"/>
    <sheet name="September" sheetId="10" r:id="rId10"/>
    <sheet name="Oktober" sheetId="11" r:id="rId11"/>
    <sheet name="November" sheetId="12" r:id="rId12"/>
    <sheet name="Dez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3" l="1"/>
  <c r="A56" i="13"/>
  <c r="C17" i="1" s="1"/>
  <c r="K3" i="13"/>
  <c r="K2" i="13"/>
  <c r="B56" i="12"/>
  <c r="K3" i="12" s="1"/>
  <c r="A56" i="12"/>
  <c r="K2" i="12" s="1"/>
  <c r="B56" i="11"/>
  <c r="A56" i="11"/>
  <c r="B56" i="10"/>
  <c r="K3" i="10" s="1"/>
  <c r="A56" i="10"/>
  <c r="K2" i="10"/>
  <c r="B56" i="9"/>
  <c r="K3" i="9" s="1"/>
  <c r="A56" i="9"/>
  <c r="K2" i="9" s="1"/>
  <c r="B56" i="8"/>
  <c r="A56" i="8"/>
  <c r="C12" i="1" s="1"/>
  <c r="K3" i="8"/>
  <c r="B56" i="7"/>
  <c r="K3" i="7" s="1"/>
  <c r="A56" i="7"/>
  <c r="K2" i="7" s="1"/>
  <c r="B56" i="6"/>
  <c r="D10" i="1" s="1"/>
  <c r="A56" i="6"/>
  <c r="K2" i="6" s="1"/>
  <c r="B56" i="5"/>
  <c r="D9" i="1" s="1"/>
  <c r="A56" i="5"/>
  <c r="C9" i="1" s="1"/>
  <c r="B56" i="4"/>
  <c r="K3" i="4" s="1"/>
  <c r="A56" i="4"/>
  <c r="K2" i="4" s="1"/>
  <c r="B56" i="3"/>
  <c r="A56" i="3"/>
  <c r="C7" i="1" s="1"/>
  <c r="E7" i="1" s="1"/>
  <c r="K3" i="3"/>
  <c r="K2" i="3"/>
  <c r="B56" i="2"/>
  <c r="A56" i="2"/>
  <c r="K2" i="2" s="1"/>
  <c r="C6" i="2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K3" i="2"/>
  <c r="G17" i="1"/>
  <c r="D17" i="1"/>
  <c r="E17" i="1" s="1"/>
  <c r="G16" i="1"/>
  <c r="D16" i="1"/>
  <c r="C16" i="1"/>
  <c r="E16" i="1" s="1"/>
  <c r="G15" i="1"/>
  <c r="G14" i="1"/>
  <c r="E14" i="1"/>
  <c r="D14" i="1"/>
  <c r="C14" i="1"/>
  <c r="G13" i="1"/>
  <c r="G12" i="1"/>
  <c r="D12" i="1"/>
  <c r="E12" i="1" s="1"/>
  <c r="G11" i="1"/>
  <c r="C11" i="1"/>
  <c r="G10" i="1"/>
  <c r="G9" i="1"/>
  <c r="G8" i="1"/>
  <c r="D8" i="1"/>
  <c r="E8" i="1" s="1"/>
  <c r="C8" i="1"/>
  <c r="G7" i="1"/>
  <c r="D7" i="1"/>
  <c r="G6" i="1"/>
  <c r="D6" i="1"/>
  <c r="C6" i="1"/>
  <c r="B6" i="1"/>
  <c r="K3" i="6" l="1"/>
  <c r="C10" i="1"/>
  <c r="E10" i="1" s="1"/>
  <c r="K2" i="5"/>
  <c r="E9" i="1"/>
  <c r="F6" i="1"/>
  <c r="C5" i="3"/>
  <c r="C15" i="1"/>
  <c r="K2" i="11"/>
  <c r="D15" i="1"/>
  <c r="K3" i="11"/>
  <c r="E6" i="1"/>
  <c r="K3" i="5"/>
  <c r="G18" i="1"/>
  <c r="C13" i="1"/>
  <c r="D11" i="1"/>
  <c r="E11" i="1" s="1"/>
  <c r="D13" i="1"/>
  <c r="K2" i="8"/>
  <c r="C18" i="1" l="1"/>
  <c r="D3" i="1" s="1"/>
  <c r="B7" i="1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E13" i="1"/>
  <c r="E18" i="1" s="1"/>
  <c r="H3" i="1" s="1"/>
  <c r="E15" i="1"/>
  <c r="D18" i="1"/>
  <c r="F3" i="1" s="1"/>
  <c r="C5" i="4" l="1"/>
  <c r="F7" i="1"/>
  <c r="C6" i="4" l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B8" i="1"/>
  <c r="C5" i="5" l="1"/>
  <c r="F8" i="1"/>
  <c r="C6" i="5" l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B9" i="1"/>
  <c r="F9" i="1" l="1"/>
  <c r="C5" i="6"/>
  <c r="C6" i="6" l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B10" i="1"/>
  <c r="C5" i="7" l="1"/>
  <c r="F10" i="1"/>
  <c r="C6" i="7" l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B11" i="1"/>
  <c r="F11" i="1" l="1"/>
  <c r="C5" i="8"/>
  <c r="B12" i="1" l="1"/>
  <c r="C6" i="8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" i="9" l="1"/>
  <c r="F12" i="1"/>
  <c r="B13" i="1" l="1"/>
  <c r="C6" i="9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53" i="9" s="1"/>
  <c r="C54" i="9" s="1"/>
  <c r="C55" i="9" s="1"/>
  <c r="C56" i="9" s="1"/>
  <c r="C5" i="10" l="1"/>
  <c r="F13" i="1"/>
  <c r="C6" i="10" l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B14" i="1"/>
  <c r="F14" i="1" l="1"/>
  <c r="C5" i="11"/>
  <c r="B15" i="1" l="1"/>
  <c r="C6" i="1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F15" i="1" l="1"/>
  <c r="C5" i="12"/>
  <c r="C6" i="12" l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B16" i="1"/>
  <c r="F16" i="1" l="1"/>
  <c r="C5" i="13"/>
  <c r="B17" i="1" l="1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F17" i="1" s="1"/>
  <c r="F18" i="1" s="1"/>
</calcChain>
</file>

<file path=xl/sharedStrings.xml><?xml version="1.0" encoding="utf-8"?>
<sst xmlns="http://schemas.openxmlformats.org/spreadsheetml/2006/main" count="230" uniqueCount="37">
  <si>
    <t>Jahresübersicht – Kassenbuch</t>
  </si>
  <si>
    <t>Jahr:</t>
  </si>
  <si>
    <t>Gesamt Einnahmen</t>
  </si>
  <si>
    <t>Gesamt Ausgaben</t>
  </si>
  <si>
    <t>Jahres-Saldo</t>
  </si>
  <si>
    <t>Monat</t>
  </si>
  <si>
    <t>Anfangsbestand</t>
  </si>
  <si>
    <t>Einnahmen</t>
  </si>
  <si>
    <t>Ausgaben</t>
  </si>
  <si>
    <t>Saldo</t>
  </si>
  <si>
    <t>Endbestand</t>
  </si>
  <si>
    <t>Ø Ausgaben (Tag)</t>
  </si>
  <si>
    <t>Hinweis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</si>
  <si>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</si>
  <si>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</si>
  <si>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</si>
  <si>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</si>
  <si>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</si>
  <si>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</si>
  <si>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</si>
  <si>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</si>
  <si>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</si>
  <si>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</si>
  <si>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</si>
  <si>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</si>
  <si>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Summe</t>
  </si>
  <si>
    <t>Kassenbuch</t>
  </si>
  <si>
    <t>Monat:</t>
  </si>
  <si>
    <t>Bestand</t>
  </si>
  <si>
    <t>Gegenkonto</t>
  </si>
  <si>
    <t>Beleg Nr.</t>
  </si>
  <si>
    <t>Datum</t>
  </si>
  <si>
    <t>USt.-Satz</t>
  </si>
  <si>
    <t>Text</t>
  </si>
  <si>
    <t>Nr</t>
  </si>
  <si>
    <t>Anfangsbestand / Übertrag</t>
  </si>
  <si>
    <t>Summen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</si>
</sst>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.00"/>
    <numFmt numFmtId="165" formatCode="dd\.mm\.yyyy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b/>
      <sz val="11"/>
      <name val="Calibri"/>
      <family val="2"/>
    </font>
    <font>
      <i/>
      <sz val="11"/>
      <color rgb="FF667085"/>
      <name val="Calibri"/>
      <family val="2"/>
    </font>
    <font>
      <b/>
      <sz val="11"/>
      <color rgb="FF334155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7F9FC"/>
        <bgColor rgb="FFF7F9FC"/>
      </patternFill>
    </fill>
    <fill>
      <patternFill patternType="solid">
        <fgColor rgb="FF1F4E79"/>
        <bgColor rgb="FF1F4E7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0A6"/>
      </left>
      <right style="thin">
        <color rgb="FF9AA0A6"/>
      </right>
      <top style="thin">
        <color rgb="FF9AA0A6"/>
      </top>
      <bottom style="thin">
        <color rgb="FF9AA0A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0" fontId="0" fillId="5" borderId="2" xfId="0" applyFill="1" applyBorder="1" applyAlignment="1">
      <alignment horizontal="left" vertical="center"/>
    </xf>
    <xf numFmtId="164" fontId="0" fillId="5" borderId="2" xfId="0" applyNumberForma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164" fontId="2" fillId="4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5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6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Jahresübersicht!$C$5</c:f>
              <c:strCache>
                <c:ptCount val="1"/>
                <c:pt idx="0">
                  <c:v>Einnahmen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Jahresübersicht!$A$6:$A$17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Jahresübersicht!$C$6:$C$17</c:f>
              <c:numCache>
                <c:formatCode>\€\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E-A343-AD60-C16043F5BC19}"/>
            </c:ext>
          </c:extLst>
        </c:ser>
        <c:ser>
          <c:idx val="1"/>
          <c:order val="1"/>
          <c:tx>
            <c:strRef>
              <c:f>Jahresübersicht!$D$5</c:f>
              <c:strCache>
                <c:ptCount val="1"/>
                <c:pt idx="0">
                  <c:v>Ausgaben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Jahresübersicht!$A$6:$A$17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Jahresübersicht!$D$6:$D$17</c:f>
              <c:numCache>
                <c:formatCode>\€\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E-A343-AD60-C16043F5B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Monat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Endbestand Verlauf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Jahresübersicht!$F$5</c:f>
              <c:strCache>
                <c:ptCount val="1"/>
                <c:pt idx="0">
                  <c:v>Endbestand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Jahresübersicht!$A$6:$A$17</c:f>
              <c:strCache>
                <c:ptCount val="12"/>
                <c:pt idx="0">
                  <c:v>Januar</c:v>
                </c:pt>
                <c:pt idx="1">
                  <c:v>Februar</c:v>
                </c:pt>
                <c:pt idx="2">
                  <c:v>März</c:v>
                </c:pt>
                <c:pt idx="3">
                  <c:v>April</c:v>
                </c:pt>
                <c:pt idx="4">
                  <c:v>Mai</c:v>
                </c:pt>
                <c:pt idx="5">
                  <c:v>Juni</c:v>
                </c:pt>
                <c:pt idx="6">
                  <c:v>Juli</c:v>
                </c:pt>
                <c:pt idx="7">
                  <c:v>August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Dezember</c:v>
                </c:pt>
              </c:strCache>
            </c:strRef>
          </c:cat>
          <c:val>
            <c:numRef>
              <c:f>Jahresübersicht!$F$6:$F$17</c:f>
              <c:numCache>
                <c:formatCode>\€\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F-0847-86A5-F1D3B213D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Monat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Januar!$I$6:$I$55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Januar!$C$6:$C$55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AD-C147-8719-A0EEF9DD6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Januar!$J$2:$J$3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Januar!$K$2:$K$3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9-6246-A7D3-DE6D38FBE13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Februar!$I$6:$I$55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Februar!$C$6:$C$55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1-244D-A404-66692CCC1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Februar!$J$2:$J$3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Februar!$K$2:$K$3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3-B345-8093-2C82A6ADAB5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März!$I$6:$I$55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März!$C$6:$C$55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B14D-ABB3-B91C85480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März!$J$2:$J$3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März!$K$2:$K$3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8-D543-B9EB-235D584D515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April!$I$6:$I$55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April!$C$6:$C$55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81-304E-8136-F4B4D59F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April!$J$2:$J$3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April!$K$2:$K$3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0-C449-BABC-D57B06C25DB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Mai!$I$6:$I$55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Mai!$C$6:$C$55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D-D64A-949F-BBFEA2515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Mai!$J$2:$J$3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Mai!$K$2:$K$3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54-9546-963A-700EF59559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Juni!$I$6:$I$55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Juni!$C$6:$C$55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24-C741-B7FC-97F1E1CDB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Juni!$J$2:$J$3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Juni!$K$2:$K$3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75-0B47-ABE6-75798491DAF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Juli!$I$6:$I$55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Juli!$C$6:$C$55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D6-F047-B8D6-963D0D3BE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Juli!$J$2:$J$3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Juli!$K$2:$K$3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A-284C-8699-F55CD4639E6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August!$I$6:$I$55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August!$C$6:$C$55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83-7B48-AFB2-D00EFE738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August!$J$2:$J$3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August!$K$2:$K$3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9-FD4A-B59D-0C82B39BE73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September!$I$6:$I$55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September!$C$6:$C$55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4-CB46-9E55-5207F302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September!$J$2:$J$3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September!$K$2:$K$3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0-374C-85EC-C81348149C6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Oktober!$I$6:$I$55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Oktober!$C$6:$C$55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F-5649-8869-9A934CD0D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Oktober!$J$2:$J$3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Oktober!$K$2:$K$3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B-D14B-9241-EB7D3DD3BF3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November!$I$6:$I$55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November!$C$6:$C$55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0-7447-9794-2134A95AA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November!$J$2:$J$3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November!$K$2:$K$3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5-B440-BE00-BF7077E09ED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Bestand (laufend)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Bestand (laufend)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Dezember!$I$6:$I$55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Dezember!$C$6:$C$55</c:f>
              <c:numCache>
                <c:formatCode>\€\ #,##0.00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A-CC4D-B2C0-E4D117F5A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Eintrag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0"/>
        </c:title>
        <c:numFmt formatCode="\€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Einnahmen vs. Ausgaben (Monat)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Dezember!$J$2:$J$3</c:f>
              <c:strCache>
                <c:ptCount val="2"/>
                <c:pt idx="0">
                  <c:v>Einnahmen</c:v>
                </c:pt>
                <c:pt idx="1">
                  <c:v>Ausgaben</c:v>
                </c:pt>
              </c:strCache>
            </c:strRef>
          </c:cat>
          <c:val>
            <c:numRef>
              <c:f>Dezember!$K$2:$K$3</c:f>
              <c:numCache>
                <c:formatCode>\€\ 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0-4145-842C-92E33BDBF73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22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pane ySplit="5" topLeftCell="A6" activePane="bottomLeft" state="frozen"/>
      <selection pane="bottomLeft" activeCell="Q18" sqref="Q18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6" width="14" customWidth="1"/>
    <col min="7" max="7" width="16" customWidth="1"/>
    <col min="8" max="8" width="20" customWidth="1"/>
    <col min="9" max="14" width="14" customWidth="1"/>
  </cols>
  <sheetData>
    <row r="1" spans="1:8" ht="28" customHeight="1" x14ac:dyDescent="0.2">
      <c r="A1" s="31" t="s">
        <v>0</v>
      </c>
      <c r="B1" s="32"/>
      <c r="C1" s="32"/>
      <c r="D1" s="32"/>
      <c r="E1" s="32"/>
      <c r="F1" s="32"/>
      <c r="G1" s="32"/>
      <c r="H1" s="32"/>
    </row>
    <row r="2" spans="1:8" x14ac:dyDescent="0.2">
      <c r="A2" s="1" t="s">
        <v>1</v>
      </c>
      <c r="D2" s="2" t="s">
        <v>2</v>
      </c>
      <c r="F2" s="2" t="s">
        <v>3</v>
      </c>
      <c r="H2" s="2" t="s">
        <v>4</v>
      </c>
    </row>
    <row r="3" spans="1:8" ht="19" x14ac:dyDescent="0.2">
      <c r="D3" s="3">
        <f>C18</f>
        <v>0</v>
      </c>
      <c r="F3" s="3">
        <f>D18</f>
        <v>0</v>
      </c>
      <c r="H3" s="3">
        <f>E18</f>
        <v>0</v>
      </c>
    </row>
    <row r="5" spans="1:8" ht="22" customHeight="1" x14ac:dyDescent="0.2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</row>
    <row r="6" spans="1:8" x14ac:dyDescent="0.2">
      <c r="A6" s="5" t="s">
        <v>13</v>
      </c>
      <c r="B6" s="6">
        <f>Januar!C5</f>
        <v>0</v>
      </c>
      <c r="C6" s="6">
        <f>Januar!A56</f>
        <v>0</v>
      </c>
      <c r="D6" s="6">
        <f>Januar!B56</f>
        <v>0</v>
      </c>
      <c r="E6" s="6">
        <f t="shared" ref="E6:E17" si="0">C6-D6</f>
        <v>0</v>
      </c>
      <c r="F6" s="6">
        <f>Januar!C56</f>
        <v>0</v>
      </c>
      <c r="G6" s="6" t="str">
        <f>IF($B$2="","",D6/DAY(EOMONTH(DATE($B$2,1,1),0)))</f>
        <v/>
      </c>
      <c r="H6" s="5"/>
    </row>
    <row r="7" spans="1:8" x14ac:dyDescent="0.2">
      <c r="A7" s="7" t="s">
        <v>14</v>
      </c>
      <c r="B7" s="8">
        <f>Februar!C5</f>
        <v>0</v>
      </c>
      <c r="C7" s="8">
        <f>Februar!A56</f>
        <v>0</v>
      </c>
      <c r="D7" s="8">
        <f>Februar!B56</f>
        <v>0</v>
      </c>
      <c r="E7" s="8">
        <f t="shared" si="0"/>
        <v>0</v>
      </c>
      <c r="F7" s="8">
        <f>Februar!C56</f>
        <v>0</v>
      </c>
      <c r="G7" s="8" t="str">
        <f>IF($B$2="","",D7/DAY(EOMONTH(DATE($B$2,2,1),0)))</f>
        <v/>
      </c>
      <c r="H7" s="7"/>
    </row>
    <row r="8" spans="1:8" x14ac:dyDescent="0.2">
      <c r="A8" s="5" t="s">
        <v>15</v>
      </c>
      <c r="B8" s="6">
        <f>März!C5</f>
        <v>0</v>
      </c>
      <c r="C8" s="6">
        <f>März!A56</f>
        <v>0</v>
      </c>
      <c r="D8" s="6">
        <f>März!B56</f>
        <v>0</v>
      </c>
      <c r="E8" s="6">
        <f t="shared" si="0"/>
        <v>0</v>
      </c>
      <c r="F8" s="6">
        <f>März!C56</f>
        <v>0</v>
      </c>
      <c r="G8" s="6" t="str">
        <f>IF($B$2="","",D8/DAY(EOMONTH(DATE($B$2,3,1),0)))</f>
        <v/>
      </c>
      <c r="H8" s="5"/>
    </row>
    <row r="9" spans="1:8" x14ac:dyDescent="0.2">
      <c r="A9" s="7" t="s">
        <v>16</v>
      </c>
      <c r="B9" s="8">
        <f>April!C5</f>
        <v>0</v>
      </c>
      <c r="C9" s="8">
        <f>April!A56</f>
        <v>0</v>
      </c>
      <c r="D9" s="8">
        <f>April!B56</f>
        <v>0</v>
      </c>
      <c r="E9" s="8">
        <f t="shared" si="0"/>
        <v>0</v>
      </c>
      <c r="F9" s="8">
        <f>April!C56</f>
        <v>0</v>
      </c>
      <c r="G9" s="8" t="str">
        <f>IF($B$2="","",D9/DAY(EOMONTH(DATE($B$2,4,1),0)))</f>
        <v/>
      </c>
      <c r="H9" s="7"/>
    </row>
    <row r="10" spans="1:8" x14ac:dyDescent="0.2">
      <c r="A10" s="5" t="s">
        <v>17</v>
      </c>
      <c r="B10" s="6">
        <f>Mai!C5</f>
        <v>0</v>
      </c>
      <c r="C10" s="6">
        <f>Mai!A56</f>
        <v>0</v>
      </c>
      <c r="D10" s="6">
        <f>Mai!B56</f>
        <v>0</v>
      </c>
      <c r="E10" s="6">
        <f t="shared" si="0"/>
        <v>0</v>
      </c>
      <c r="F10" s="6">
        <f>Mai!C56</f>
        <v>0</v>
      </c>
      <c r="G10" s="6" t="str">
        <f>IF($B$2="","",D10/DAY(EOMONTH(DATE($B$2,5,1),0)))</f>
        <v/>
      </c>
      <c r="H10" s="5"/>
    </row>
    <row r="11" spans="1:8" x14ac:dyDescent="0.2">
      <c r="A11" s="7" t="s">
        <v>18</v>
      </c>
      <c r="B11" s="8">
        <f>Juni!C5</f>
        <v>0</v>
      </c>
      <c r="C11" s="8">
        <f>Juni!A56</f>
        <v>0</v>
      </c>
      <c r="D11" s="8">
        <f>Juni!B56</f>
        <v>0</v>
      </c>
      <c r="E11" s="8">
        <f t="shared" si="0"/>
        <v>0</v>
      </c>
      <c r="F11" s="8">
        <f>Juni!C56</f>
        <v>0</v>
      </c>
      <c r="G11" s="8" t="str">
        <f>IF($B$2="","",D11/DAY(EOMONTH(DATE($B$2,6,1),0)))</f>
        <v/>
      </c>
      <c r="H11" s="7"/>
    </row>
    <row r="12" spans="1:8" x14ac:dyDescent="0.2">
      <c r="A12" s="5" t="s">
        <v>19</v>
      </c>
      <c r="B12" s="6">
        <f>Juli!C5</f>
        <v>0</v>
      </c>
      <c r="C12" s="6">
        <f>Juli!A56</f>
        <v>0</v>
      </c>
      <c r="D12" s="6">
        <f>Juli!B56</f>
        <v>0</v>
      </c>
      <c r="E12" s="6">
        <f t="shared" si="0"/>
        <v>0</v>
      </c>
      <c r="F12" s="6">
        <f>Juli!C56</f>
        <v>0</v>
      </c>
      <c r="G12" s="6" t="str">
        <f>IF($B$2="","",D12/DAY(EOMONTH(DATE($B$2,7,1),0)))</f>
        <v/>
      </c>
      <c r="H12" s="5"/>
    </row>
    <row r="13" spans="1:8" x14ac:dyDescent="0.2">
      <c r="A13" s="7" t="s">
        <v>20</v>
      </c>
      <c r="B13" s="8">
        <f>August!C5</f>
        <v>0</v>
      </c>
      <c r="C13" s="8">
        <f>August!A56</f>
        <v>0</v>
      </c>
      <c r="D13" s="8">
        <f>August!B56</f>
        <v>0</v>
      </c>
      <c r="E13" s="8">
        <f t="shared" si="0"/>
        <v>0</v>
      </c>
      <c r="F13" s="8">
        <f>August!C56</f>
        <v>0</v>
      </c>
      <c r="G13" s="8" t="str">
        <f>IF($B$2="","",D13/DAY(EOMONTH(DATE($B$2,8,1),0)))</f>
        <v/>
      </c>
      <c r="H13" s="7"/>
    </row>
    <row r="14" spans="1:8" x14ac:dyDescent="0.2">
      <c r="A14" s="5" t="s">
        <v>21</v>
      </c>
      <c r="B14" s="6">
        <f>September!C5</f>
        <v>0</v>
      </c>
      <c r="C14" s="6">
        <f>September!A56</f>
        <v>0</v>
      </c>
      <c r="D14" s="6">
        <f>September!B56</f>
        <v>0</v>
      </c>
      <c r="E14" s="6">
        <f t="shared" si="0"/>
        <v>0</v>
      </c>
      <c r="F14" s="6">
        <f>September!C56</f>
        <v>0</v>
      </c>
      <c r="G14" s="6" t="str">
        <f>IF($B$2="","",D14/DAY(EOMONTH(DATE($B$2,9,1),0)))</f>
        <v/>
      </c>
      <c r="H14" s="5"/>
    </row>
    <row r="15" spans="1:8" x14ac:dyDescent="0.2">
      <c r="A15" s="7" t="s">
        <v>22</v>
      </c>
      <c r="B15" s="8">
        <f>Oktober!C5</f>
        <v>0</v>
      </c>
      <c r="C15" s="8">
        <f>Oktober!A56</f>
        <v>0</v>
      </c>
      <c r="D15" s="8">
        <f>Oktober!B56</f>
        <v>0</v>
      </c>
      <c r="E15" s="8">
        <f t="shared" si="0"/>
        <v>0</v>
      </c>
      <c r="F15" s="8">
        <f>Oktober!C56</f>
        <v>0</v>
      </c>
      <c r="G15" s="8" t="str">
        <f>IF($B$2="","",D15/DAY(EOMONTH(DATE($B$2,10,1),0)))</f>
        <v/>
      </c>
      <c r="H15" s="7"/>
    </row>
    <row r="16" spans="1:8" x14ac:dyDescent="0.2">
      <c r="A16" s="5" t="s">
        <v>23</v>
      </c>
      <c r="B16" s="6">
        <f>November!C5</f>
        <v>0</v>
      </c>
      <c r="C16" s="6">
        <f>November!A56</f>
        <v>0</v>
      </c>
      <c r="D16" s="6">
        <f>November!B56</f>
        <v>0</v>
      </c>
      <c r="E16" s="6">
        <f t="shared" si="0"/>
        <v>0</v>
      </c>
      <c r="F16" s="6">
        <f>November!C56</f>
        <v>0</v>
      </c>
      <c r="G16" s="6" t="str">
        <f>IF($B$2="","",D16/DAY(EOMONTH(DATE($B$2,11,1),0)))</f>
        <v/>
      </c>
      <c r="H16" s="5"/>
    </row>
    <row r="17" spans="1:8" x14ac:dyDescent="0.2">
      <c r="A17" s="7" t="s">
        <v>24</v>
      </c>
      <c r="B17" s="8">
        <f>Dezember!C5</f>
        <v>0</v>
      </c>
      <c r="C17" s="8">
        <f>Dezember!A56</f>
        <v>0</v>
      </c>
      <c r="D17" s="8">
        <f>Dezember!B56</f>
        <v>0</v>
      </c>
      <c r="E17" s="8">
        <f t="shared" si="0"/>
        <v>0</v>
      </c>
      <c r="F17" s="8">
        <f>Dezember!C56</f>
        <v>0</v>
      </c>
      <c r="G17" s="8" t="str">
        <f>IF($B$2="","",D17/DAY(EOMONTH(DATE($B$2,12,1),0)))</f>
        <v/>
      </c>
      <c r="H17" s="7"/>
    </row>
    <row r="18" spans="1:8" x14ac:dyDescent="0.2">
      <c r="A18" s="9" t="s">
        <v>25</v>
      </c>
      <c r="B18" s="10"/>
      <c r="C18" s="11">
        <f>SUM(C6:C17)</f>
        <v>0</v>
      </c>
      <c r="D18" s="11">
        <f>SUM(D6:D17)</f>
        <v>0</v>
      </c>
      <c r="E18" s="11">
        <f>SUM(E6:E17)</f>
        <v>0</v>
      </c>
      <c r="F18" s="11">
        <f>LOOKUP(9E+99,F6:F17)</f>
        <v>0</v>
      </c>
      <c r="G18" s="11" t="e">
        <f>AVERAGE(G6:G17)</f>
        <v>#DIV/0!</v>
      </c>
      <c r="H18" s="9"/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5" topLeftCell="A6" activePane="bottomLeft" state="frozen"/>
      <selection pane="bottomLeft" activeCell="C55" sqref="C55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13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/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5" topLeftCell="A6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14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Januar!C56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15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Februar!C56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6"/>
  <sheetViews>
    <sheetView workbookViewId="0">
      <pane ySplit="5" topLeftCell="A6" activePane="bottomLeft" state="frozen"/>
      <selection pane="bottomLeft" activeCell="G30" sqref="G30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16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März!C56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6"/>
  <sheetViews>
    <sheetView workbookViewId="0">
      <pane ySplit="5" topLeftCell="A6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17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April!C56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18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Mai!C56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19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Juni!C56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20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Juli!C56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6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21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August!C56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22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September!C56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6"/>
  <sheetViews>
    <sheetView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23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Oktober!C56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6"/>
  <sheetViews>
    <sheetView tabSelected="1" workbookViewId="0">
      <pane ySplit="5" topLeftCell="A6" activePane="bottomLeft" state="frozen"/>
      <selection pane="bottomLeft" sqref="A1:H1"/>
    </sheetView>
  </sheetViews>
  <sheetFormatPr baseColWidth="10" defaultColWidth="8.83203125" defaultRowHeight="15" x14ac:dyDescent="0.2"/>
  <cols>
    <col min="1" max="3" width="14" customWidth="1"/>
    <col min="4" max="5" width="15" customWidth="1"/>
    <col min="6" max="6" width="14" customWidth="1"/>
    <col min="7" max="7" width="15" customWidth="1"/>
    <col min="8" max="8" width="30" customWidth="1"/>
    <col min="9" max="9" width="5" customWidth="1"/>
    <col min="10" max="17" width="14" customWidth="1"/>
  </cols>
  <sheetData>
    <row r="1" spans="1:11" ht="28" customHeight="1" x14ac:dyDescent="0.2">
      <c r="A1" s="33" t="s">
        <v>26</v>
      </c>
      <c r="B1" s="32"/>
      <c r="C1" s="32"/>
      <c r="D1" s="32"/>
      <c r="E1" s="32"/>
      <c r="F1" s="32"/>
      <c r="G1" s="32"/>
      <c r="H1" s="32"/>
    </row>
    <row r="2" spans="1:11" x14ac:dyDescent="0.2">
      <c r="A2" s="12" t="s">
        <v>27</v>
      </c>
      <c r="B2" s="12" t="s">
        <v>24</v>
      </c>
      <c r="F2" s="12" t="s">
        <v>1</v>
      </c>
      <c r="G2" s="12"/>
      <c r="J2" s="13" t="s">
        <v>7</v>
      </c>
      <c r="K2" s="14">
        <f>A56</f>
        <v>0</v>
      </c>
    </row>
    <row r="3" spans="1:11" x14ac:dyDescent="0.2">
      <c r="J3" s="13" t="s">
        <v>8</v>
      </c>
      <c r="K3" s="14">
        <f>B56</f>
        <v>0</v>
      </c>
    </row>
    <row r="4" spans="1:11" ht="20" customHeight="1" x14ac:dyDescent="0.2">
      <c r="A4" s="15" t="s">
        <v>7</v>
      </c>
      <c r="B4" s="15" t="s">
        <v>8</v>
      </c>
      <c r="C4" s="15" t="s">
        <v>28</v>
      </c>
      <c r="D4" s="15" t="s">
        <v>29</v>
      </c>
      <c r="E4" s="15" t="s">
        <v>30</v>
      </c>
      <c r="F4" s="15" t="s">
        <v>31</v>
      </c>
      <c r="G4" s="15" t="s">
        <v>32</v>
      </c>
      <c r="H4" s="15" t="s">
        <v>33</v>
      </c>
      <c r="I4" s="16" t="s">
        <v>34</v>
      </c>
    </row>
    <row r="5" spans="1:11" x14ac:dyDescent="0.2">
      <c r="A5" s="17"/>
      <c r="B5" s="17"/>
      <c r="C5" s="18">
        <f>November!C56</f>
        <v>0</v>
      </c>
      <c r="D5" s="17"/>
      <c r="E5" s="17"/>
      <c r="F5" s="17"/>
      <c r="G5" s="17"/>
      <c r="H5" s="19" t="s">
        <v>35</v>
      </c>
      <c r="I5" s="17"/>
    </row>
    <row r="6" spans="1:11" x14ac:dyDescent="0.2">
      <c r="A6" s="20"/>
      <c r="B6" s="20"/>
      <c r="C6" s="20">
        <f t="shared" ref="C6:C37" si="0">C5+A6-B6</f>
        <v>0</v>
      </c>
      <c r="D6" s="21"/>
      <c r="E6" s="21"/>
      <c r="F6" s="22"/>
      <c r="G6" s="21"/>
      <c r="H6" s="21"/>
      <c r="I6" s="23">
        <v>1</v>
      </c>
    </row>
    <row r="7" spans="1:11" x14ac:dyDescent="0.2">
      <c r="A7" s="24"/>
      <c r="B7" s="24"/>
      <c r="C7" s="24">
        <f t="shared" si="0"/>
        <v>0</v>
      </c>
      <c r="D7" s="25"/>
      <c r="E7" s="25"/>
      <c r="F7" s="26"/>
      <c r="G7" s="25"/>
      <c r="H7" s="25"/>
      <c r="I7" s="27">
        <v>2</v>
      </c>
    </row>
    <row r="8" spans="1:11" x14ac:dyDescent="0.2">
      <c r="A8" s="20"/>
      <c r="B8" s="20"/>
      <c r="C8" s="20">
        <f t="shared" si="0"/>
        <v>0</v>
      </c>
      <c r="D8" s="21"/>
      <c r="E8" s="21"/>
      <c r="F8" s="22"/>
      <c r="G8" s="21"/>
      <c r="H8" s="21"/>
      <c r="I8" s="23">
        <v>3</v>
      </c>
    </row>
    <row r="9" spans="1:11" x14ac:dyDescent="0.2">
      <c r="A9" s="24"/>
      <c r="B9" s="24"/>
      <c r="C9" s="24">
        <f t="shared" si="0"/>
        <v>0</v>
      </c>
      <c r="D9" s="25"/>
      <c r="E9" s="25"/>
      <c r="F9" s="26"/>
      <c r="G9" s="25"/>
      <c r="H9" s="25"/>
      <c r="I9" s="27">
        <v>4</v>
      </c>
    </row>
    <row r="10" spans="1:11" x14ac:dyDescent="0.2">
      <c r="A10" s="20"/>
      <c r="B10" s="20"/>
      <c r="C10" s="20">
        <f t="shared" si="0"/>
        <v>0</v>
      </c>
      <c r="D10" s="21"/>
      <c r="E10" s="21"/>
      <c r="F10" s="22"/>
      <c r="G10" s="21"/>
      <c r="H10" s="21"/>
      <c r="I10" s="23">
        <v>5</v>
      </c>
    </row>
    <row r="11" spans="1:11" x14ac:dyDescent="0.2">
      <c r="A11" s="24"/>
      <c r="B11" s="24"/>
      <c r="C11" s="24">
        <f t="shared" si="0"/>
        <v>0</v>
      </c>
      <c r="D11" s="25"/>
      <c r="E11" s="25"/>
      <c r="F11" s="26"/>
      <c r="G11" s="25"/>
      <c r="H11" s="25"/>
      <c r="I11" s="27">
        <v>6</v>
      </c>
    </row>
    <row r="12" spans="1:11" x14ac:dyDescent="0.2">
      <c r="A12" s="20"/>
      <c r="B12" s="20"/>
      <c r="C12" s="20">
        <f t="shared" si="0"/>
        <v>0</v>
      </c>
      <c r="D12" s="21"/>
      <c r="E12" s="21"/>
      <c r="F12" s="22"/>
      <c r="G12" s="21"/>
      <c r="H12" s="21"/>
      <c r="I12" s="23">
        <v>7</v>
      </c>
    </row>
    <row r="13" spans="1:11" x14ac:dyDescent="0.2">
      <c r="A13" s="24"/>
      <c r="B13" s="24"/>
      <c r="C13" s="24">
        <f t="shared" si="0"/>
        <v>0</v>
      </c>
      <c r="D13" s="25"/>
      <c r="E13" s="25"/>
      <c r="F13" s="26"/>
      <c r="G13" s="25"/>
      <c r="H13" s="25"/>
      <c r="I13" s="27">
        <v>8</v>
      </c>
    </row>
    <row r="14" spans="1:11" x14ac:dyDescent="0.2">
      <c r="A14" s="20"/>
      <c r="B14" s="20"/>
      <c r="C14" s="20">
        <f t="shared" si="0"/>
        <v>0</v>
      </c>
      <c r="D14" s="21"/>
      <c r="E14" s="21"/>
      <c r="F14" s="22"/>
      <c r="G14" s="21"/>
      <c r="H14" s="21"/>
      <c r="I14" s="23">
        <v>9</v>
      </c>
    </row>
    <row r="15" spans="1:11" x14ac:dyDescent="0.2">
      <c r="A15" s="24"/>
      <c r="B15" s="24"/>
      <c r="C15" s="24">
        <f t="shared" si="0"/>
        <v>0</v>
      </c>
      <c r="D15" s="25"/>
      <c r="E15" s="25"/>
      <c r="F15" s="26"/>
      <c r="G15" s="25"/>
      <c r="H15" s="25"/>
      <c r="I15" s="27">
        <v>10</v>
      </c>
    </row>
    <row r="16" spans="1:11" x14ac:dyDescent="0.2">
      <c r="A16" s="20"/>
      <c r="B16" s="20"/>
      <c r="C16" s="20">
        <f t="shared" si="0"/>
        <v>0</v>
      </c>
      <c r="D16" s="21"/>
      <c r="E16" s="21"/>
      <c r="F16" s="22"/>
      <c r="G16" s="21"/>
      <c r="H16" s="21"/>
      <c r="I16" s="23">
        <v>11</v>
      </c>
    </row>
    <row r="17" spans="1:9" x14ac:dyDescent="0.2">
      <c r="A17" s="24"/>
      <c r="B17" s="24"/>
      <c r="C17" s="24">
        <f t="shared" si="0"/>
        <v>0</v>
      </c>
      <c r="D17" s="25"/>
      <c r="E17" s="25"/>
      <c r="F17" s="26"/>
      <c r="G17" s="25"/>
      <c r="H17" s="25"/>
      <c r="I17" s="27">
        <v>12</v>
      </c>
    </row>
    <row r="18" spans="1:9" x14ac:dyDescent="0.2">
      <c r="A18" s="20"/>
      <c r="B18" s="20"/>
      <c r="C18" s="20">
        <f t="shared" si="0"/>
        <v>0</v>
      </c>
      <c r="D18" s="21"/>
      <c r="E18" s="21"/>
      <c r="F18" s="22"/>
      <c r="G18" s="21"/>
      <c r="H18" s="21"/>
      <c r="I18" s="23">
        <v>13</v>
      </c>
    </row>
    <row r="19" spans="1:9" x14ac:dyDescent="0.2">
      <c r="A19" s="24"/>
      <c r="B19" s="24"/>
      <c r="C19" s="24">
        <f t="shared" si="0"/>
        <v>0</v>
      </c>
      <c r="D19" s="25"/>
      <c r="E19" s="25"/>
      <c r="F19" s="26"/>
      <c r="G19" s="25"/>
      <c r="H19" s="25"/>
      <c r="I19" s="27">
        <v>14</v>
      </c>
    </row>
    <row r="20" spans="1:9" x14ac:dyDescent="0.2">
      <c r="A20" s="20"/>
      <c r="B20" s="20"/>
      <c r="C20" s="20">
        <f t="shared" si="0"/>
        <v>0</v>
      </c>
      <c r="D20" s="21"/>
      <c r="E20" s="21"/>
      <c r="F20" s="22"/>
      <c r="G20" s="21"/>
      <c r="H20" s="21"/>
      <c r="I20" s="23">
        <v>15</v>
      </c>
    </row>
    <row r="21" spans="1:9" x14ac:dyDescent="0.2">
      <c r="A21" s="24"/>
      <c r="B21" s="24"/>
      <c r="C21" s="24">
        <f t="shared" si="0"/>
        <v>0</v>
      </c>
      <c r="D21" s="25"/>
      <c r="E21" s="25"/>
      <c r="F21" s="26"/>
      <c r="G21" s="25"/>
      <c r="H21" s="25"/>
      <c r="I21" s="27">
        <v>16</v>
      </c>
    </row>
    <row r="22" spans="1:9" x14ac:dyDescent="0.2">
      <c r="A22" s="20"/>
      <c r="B22" s="20"/>
      <c r="C22" s="20">
        <f t="shared" si="0"/>
        <v>0</v>
      </c>
      <c r="D22" s="21"/>
      <c r="E22" s="21"/>
      <c r="F22" s="22"/>
      <c r="G22" s="21"/>
      <c r="H22" s="21"/>
      <c r="I22" s="23">
        <v>17</v>
      </c>
    </row>
    <row r="23" spans="1:9" x14ac:dyDescent="0.2">
      <c r="A23" s="24"/>
      <c r="B23" s="24"/>
      <c r="C23" s="24">
        <f t="shared" si="0"/>
        <v>0</v>
      </c>
      <c r="D23" s="25"/>
      <c r="E23" s="25"/>
      <c r="F23" s="26"/>
      <c r="G23" s="25"/>
      <c r="H23" s="25"/>
      <c r="I23" s="27">
        <v>18</v>
      </c>
    </row>
    <row r="24" spans="1:9" x14ac:dyDescent="0.2">
      <c r="A24" s="20"/>
      <c r="B24" s="20"/>
      <c r="C24" s="20">
        <f t="shared" si="0"/>
        <v>0</v>
      </c>
      <c r="D24" s="21"/>
      <c r="E24" s="21"/>
      <c r="F24" s="22"/>
      <c r="G24" s="21"/>
      <c r="H24" s="21"/>
      <c r="I24" s="23">
        <v>19</v>
      </c>
    </row>
    <row r="25" spans="1:9" x14ac:dyDescent="0.2">
      <c r="A25" s="24"/>
      <c r="B25" s="24"/>
      <c r="C25" s="24">
        <f t="shared" si="0"/>
        <v>0</v>
      </c>
      <c r="D25" s="25"/>
      <c r="E25" s="25"/>
      <c r="F25" s="26"/>
      <c r="G25" s="25"/>
      <c r="H25" s="25"/>
      <c r="I25" s="27">
        <v>20</v>
      </c>
    </row>
    <row r="26" spans="1:9" x14ac:dyDescent="0.2">
      <c r="A26" s="20"/>
      <c r="B26" s="20"/>
      <c r="C26" s="20">
        <f t="shared" si="0"/>
        <v>0</v>
      </c>
      <c r="D26" s="21"/>
      <c r="E26" s="21"/>
      <c r="F26" s="22"/>
      <c r="G26" s="21"/>
      <c r="H26" s="21"/>
      <c r="I26" s="23">
        <v>21</v>
      </c>
    </row>
    <row r="27" spans="1:9" x14ac:dyDescent="0.2">
      <c r="A27" s="24"/>
      <c r="B27" s="24"/>
      <c r="C27" s="24">
        <f t="shared" si="0"/>
        <v>0</v>
      </c>
      <c r="D27" s="25"/>
      <c r="E27" s="25"/>
      <c r="F27" s="26"/>
      <c r="G27" s="25"/>
      <c r="H27" s="25"/>
      <c r="I27" s="27">
        <v>22</v>
      </c>
    </row>
    <row r="28" spans="1:9" x14ac:dyDescent="0.2">
      <c r="A28" s="20"/>
      <c r="B28" s="20"/>
      <c r="C28" s="20">
        <f t="shared" si="0"/>
        <v>0</v>
      </c>
      <c r="D28" s="21"/>
      <c r="E28" s="21"/>
      <c r="F28" s="22"/>
      <c r="G28" s="21"/>
      <c r="H28" s="21"/>
      <c r="I28" s="23">
        <v>23</v>
      </c>
    </row>
    <row r="29" spans="1:9" x14ac:dyDescent="0.2">
      <c r="A29" s="24"/>
      <c r="B29" s="24"/>
      <c r="C29" s="24">
        <f t="shared" si="0"/>
        <v>0</v>
      </c>
      <c r="D29" s="25"/>
      <c r="E29" s="25"/>
      <c r="F29" s="26"/>
      <c r="G29" s="25"/>
      <c r="H29" s="25"/>
      <c r="I29" s="27">
        <v>24</v>
      </c>
    </row>
    <row r="30" spans="1:9" x14ac:dyDescent="0.2">
      <c r="A30" s="20"/>
      <c r="B30" s="20"/>
      <c r="C30" s="20">
        <f t="shared" si="0"/>
        <v>0</v>
      </c>
      <c r="D30" s="21"/>
      <c r="E30" s="21"/>
      <c r="F30" s="22"/>
      <c r="G30" s="21"/>
      <c r="H30" s="21"/>
      <c r="I30" s="23">
        <v>25</v>
      </c>
    </row>
    <row r="31" spans="1:9" x14ac:dyDescent="0.2">
      <c r="A31" s="24"/>
      <c r="B31" s="24"/>
      <c r="C31" s="24">
        <f t="shared" si="0"/>
        <v>0</v>
      </c>
      <c r="D31" s="25"/>
      <c r="E31" s="25"/>
      <c r="F31" s="26"/>
      <c r="G31" s="25"/>
      <c r="H31" s="25"/>
      <c r="I31" s="27">
        <v>26</v>
      </c>
    </row>
    <row r="32" spans="1:9" x14ac:dyDescent="0.2">
      <c r="A32" s="20"/>
      <c r="B32" s="20"/>
      <c r="C32" s="20">
        <f t="shared" si="0"/>
        <v>0</v>
      </c>
      <c r="D32" s="21"/>
      <c r="E32" s="21"/>
      <c r="F32" s="22"/>
      <c r="G32" s="21"/>
      <c r="H32" s="21"/>
      <c r="I32" s="23">
        <v>27</v>
      </c>
    </row>
    <row r="33" spans="1:9" x14ac:dyDescent="0.2">
      <c r="A33" s="24"/>
      <c r="B33" s="24"/>
      <c r="C33" s="24">
        <f t="shared" si="0"/>
        <v>0</v>
      </c>
      <c r="D33" s="25"/>
      <c r="E33" s="25"/>
      <c r="F33" s="26"/>
      <c r="G33" s="25"/>
      <c r="H33" s="25"/>
      <c r="I33" s="27">
        <v>28</v>
      </c>
    </row>
    <row r="34" spans="1:9" x14ac:dyDescent="0.2">
      <c r="A34" s="20"/>
      <c r="B34" s="20"/>
      <c r="C34" s="20">
        <f t="shared" si="0"/>
        <v>0</v>
      </c>
      <c r="D34" s="21"/>
      <c r="E34" s="21"/>
      <c r="F34" s="22"/>
      <c r="G34" s="21"/>
      <c r="H34" s="21"/>
      <c r="I34" s="23">
        <v>29</v>
      </c>
    </row>
    <row r="35" spans="1:9" x14ac:dyDescent="0.2">
      <c r="A35" s="24"/>
      <c r="B35" s="24"/>
      <c r="C35" s="24">
        <f t="shared" si="0"/>
        <v>0</v>
      </c>
      <c r="D35" s="25"/>
      <c r="E35" s="25"/>
      <c r="F35" s="26"/>
      <c r="G35" s="25"/>
      <c r="H35" s="25"/>
      <c r="I35" s="27">
        <v>30</v>
      </c>
    </row>
    <row r="36" spans="1:9" x14ac:dyDescent="0.2">
      <c r="A36" s="20"/>
      <c r="B36" s="20"/>
      <c r="C36" s="20">
        <f t="shared" si="0"/>
        <v>0</v>
      </c>
      <c r="D36" s="21"/>
      <c r="E36" s="21"/>
      <c r="F36" s="22"/>
      <c r="G36" s="21"/>
      <c r="H36" s="21"/>
      <c r="I36" s="23">
        <v>31</v>
      </c>
    </row>
    <row r="37" spans="1:9" x14ac:dyDescent="0.2">
      <c r="A37" s="24"/>
      <c r="B37" s="24"/>
      <c r="C37" s="24">
        <f t="shared" si="0"/>
        <v>0</v>
      </c>
      <c r="D37" s="25"/>
      <c r="E37" s="25"/>
      <c r="F37" s="26"/>
      <c r="G37" s="25"/>
      <c r="H37" s="25"/>
      <c r="I37" s="27">
        <v>32</v>
      </c>
    </row>
    <row r="38" spans="1:9" x14ac:dyDescent="0.2">
      <c r="A38" s="20"/>
      <c r="B38" s="20"/>
      <c r="C38" s="20">
        <f t="shared" ref="C38:C55" si="1">C37+A38-B38</f>
        <v>0</v>
      </c>
      <c r="D38" s="21"/>
      <c r="E38" s="21"/>
      <c r="F38" s="22"/>
      <c r="G38" s="21"/>
      <c r="H38" s="21"/>
      <c r="I38" s="23">
        <v>33</v>
      </c>
    </row>
    <row r="39" spans="1:9" x14ac:dyDescent="0.2">
      <c r="A39" s="24"/>
      <c r="B39" s="24"/>
      <c r="C39" s="24">
        <f t="shared" si="1"/>
        <v>0</v>
      </c>
      <c r="D39" s="25"/>
      <c r="E39" s="25"/>
      <c r="F39" s="26"/>
      <c r="G39" s="25"/>
      <c r="H39" s="25"/>
      <c r="I39" s="27">
        <v>34</v>
      </c>
    </row>
    <row r="40" spans="1:9" x14ac:dyDescent="0.2">
      <c r="A40" s="20"/>
      <c r="B40" s="20"/>
      <c r="C40" s="20">
        <f t="shared" si="1"/>
        <v>0</v>
      </c>
      <c r="D40" s="21"/>
      <c r="E40" s="21"/>
      <c r="F40" s="22"/>
      <c r="G40" s="21"/>
      <c r="H40" s="21"/>
      <c r="I40" s="23">
        <v>35</v>
      </c>
    </row>
    <row r="41" spans="1:9" x14ac:dyDescent="0.2">
      <c r="A41" s="24"/>
      <c r="B41" s="24"/>
      <c r="C41" s="24">
        <f t="shared" si="1"/>
        <v>0</v>
      </c>
      <c r="D41" s="25"/>
      <c r="E41" s="25"/>
      <c r="F41" s="26"/>
      <c r="G41" s="25"/>
      <c r="H41" s="25"/>
      <c r="I41" s="27">
        <v>36</v>
      </c>
    </row>
    <row r="42" spans="1:9" x14ac:dyDescent="0.2">
      <c r="A42" s="20"/>
      <c r="B42" s="20"/>
      <c r="C42" s="20">
        <f t="shared" si="1"/>
        <v>0</v>
      </c>
      <c r="D42" s="21"/>
      <c r="E42" s="21"/>
      <c r="F42" s="22"/>
      <c r="G42" s="21"/>
      <c r="H42" s="21"/>
      <c r="I42" s="23">
        <v>37</v>
      </c>
    </row>
    <row r="43" spans="1:9" x14ac:dyDescent="0.2">
      <c r="A43" s="24"/>
      <c r="B43" s="24"/>
      <c r="C43" s="24">
        <f t="shared" si="1"/>
        <v>0</v>
      </c>
      <c r="D43" s="25"/>
      <c r="E43" s="25"/>
      <c r="F43" s="26"/>
      <c r="G43" s="25"/>
      <c r="H43" s="25"/>
      <c r="I43" s="27">
        <v>38</v>
      </c>
    </row>
    <row r="44" spans="1:9" x14ac:dyDescent="0.2">
      <c r="A44" s="20"/>
      <c r="B44" s="20"/>
      <c r="C44" s="20">
        <f t="shared" si="1"/>
        <v>0</v>
      </c>
      <c r="D44" s="21"/>
      <c r="E44" s="21"/>
      <c r="F44" s="22"/>
      <c r="G44" s="21"/>
      <c r="H44" s="21"/>
      <c r="I44" s="23">
        <v>39</v>
      </c>
    </row>
    <row r="45" spans="1:9" x14ac:dyDescent="0.2">
      <c r="A45" s="24"/>
      <c r="B45" s="24"/>
      <c r="C45" s="24">
        <f t="shared" si="1"/>
        <v>0</v>
      </c>
      <c r="D45" s="25"/>
      <c r="E45" s="25"/>
      <c r="F45" s="26"/>
      <c r="G45" s="25"/>
      <c r="H45" s="25"/>
      <c r="I45" s="27">
        <v>40</v>
      </c>
    </row>
    <row r="46" spans="1:9" x14ac:dyDescent="0.2">
      <c r="A46" s="20"/>
      <c r="B46" s="20"/>
      <c r="C46" s="20">
        <f t="shared" si="1"/>
        <v>0</v>
      </c>
      <c r="D46" s="21"/>
      <c r="E46" s="21"/>
      <c r="F46" s="22"/>
      <c r="G46" s="21"/>
      <c r="H46" s="21"/>
      <c r="I46" s="23">
        <v>41</v>
      </c>
    </row>
    <row r="47" spans="1:9" x14ac:dyDescent="0.2">
      <c r="A47" s="24"/>
      <c r="B47" s="24"/>
      <c r="C47" s="24">
        <f t="shared" si="1"/>
        <v>0</v>
      </c>
      <c r="D47" s="25"/>
      <c r="E47" s="25"/>
      <c r="F47" s="26"/>
      <c r="G47" s="25"/>
      <c r="H47" s="25"/>
      <c r="I47" s="27">
        <v>42</v>
      </c>
    </row>
    <row r="48" spans="1:9" x14ac:dyDescent="0.2">
      <c r="A48" s="20"/>
      <c r="B48" s="20"/>
      <c r="C48" s="20">
        <f t="shared" si="1"/>
        <v>0</v>
      </c>
      <c r="D48" s="21"/>
      <c r="E48" s="21"/>
      <c r="F48" s="22"/>
      <c r="G48" s="21"/>
      <c r="H48" s="21"/>
      <c r="I48" s="23">
        <v>43</v>
      </c>
    </row>
    <row r="49" spans="1:9" x14ac:dyDescent="0.2">
      <c r="A49" s="24"/>
      <c r="B49" s="24"/>
      <c r="C49" s="24">
        <f t="shared" si="1"/>
        <v>0</v>
      </c>
      <c r="D49" s="25"/>
      <c r="E49" s="25"/>
      <c r="F49" s="26"/>
      <c r="G49" s="25"/>
      <c r="H49" s="25"/>
      <c r="I49" s="27">
        <v>44</v>
      </c>
    </row>
    <row r="50" spans="1:9" x14ac:dyDescent="0.2">
      <c r="A50" s="20"/>
      <c r="B50" s="20"/>
      <c r="C50" s="20">
        <f t="shared" si="1"/>
        <v>0</v>
      </c>
      <c r="D50" s="21"/>
      <c r="E50" s="21"/>
      <c r="F50" s="22"/>
      <c r="G50" s="21"/>
      <c r="H50" s="21"/>
      <c r="I50" s="23">
        <v>45</v>
      </c>
    </row>
    <row r="51" spans="1:9" x14ac:dyDescent="0.2">
      <c r="A51" s="24"/>
      <c r="B51" s="24"/>
      <c r="C51" s="24">
        <f t="shared" si="1"/>
        <v>0</v>
      </c>
      <c r="D51" s="25"/>
      <c r="E51" s="25"/>
      <c r="F51" s="26"/>
      <c r="G51" s="25"/>
      <c r="H51" s="25"/>
      <c r="I51" s="27">
        <v>46</v>
      </c>
    </row>
    <row r="52" spans="1:9" x14ac:dyDescent="0.2">
      <c r="A52" s="20"/>
      <c r="B52" s="20"/>
      <c r="C52" s="20">
        <f t="shared" si="1"/>
        <v>0</v>
      </c>
      <c r="D52" s="21"/>
      <c r="E52" s="21"/>
      <c r="F52" s="22"/>
      <c r="G52" s="21"/>
      <c r="H52" s="21"/>
      <c r="I52" s="23">
        <v>47</v>
      </c>
    </row>
    <row r="53" spans="1:9" x14ac:dyDescent="0.2">
      <c r="A53" s="24"/>
      <c r="B53" s="24"/>
      <c r="C53" s="24">
        <f t="shared" si="1"/>
        <v>0</v>
      </c>
      <c r="D53" s="25"/>
      <c r="E53" s="25"/>
      <c r="F53" s="26"/>
      <c r="G53" s="25"/>
      <c r="H53" s="25"/>
      <c r="I53" s="27">
        <v>48</v>
      </c>
    </row>
    <row r="54" spans="1:9" x14ac:dyDescent="0.2">
      <c r="A54" s="20"/>
      <c r="B54" s="20"/>
      <c r="C54" s="20">
        <f t="shared" si="1"/>
        <v>0</v>
      </c>
      <c r="D54" s="21"/>
      <c r="E54" s="21"/>
      <c r="F54" s="22"/>
      <c r="G54" s="21"/>
      <c r="H54" s="21"/>
      <c r="I54" s="23">
        <v>49</v>
      </c>
    </row>
    <row r="55" spans="1:9" x14ac:dyDescent="0.2">
      <c r="A55" s="24"/>
      <c r="B55" s="24"/>
      <c r="C55" s="24">
        <f t="shared" si="1"/>
        <v>0</v>
      </c>
      <c r="D55" s="25"/>
      <c r="E55" s="25"/>
      <c r="F55" s="26"/>
      <c r="G55" s="25"/>
      <c r="H55" s="25"/>
      <c r="I55" s="27">
        <v>50</v>
      </c>
    </row>
    <row r="56" spans="1:9" ht="20" customHeight="1" x14ac:dyDescent="0.2">
      <c r="A56" s="28">
        <f>SUM(A6:A55)</f>
        <v>0</v>
      </c>
      <c r="B56" s="28">
        <f>SUM(B6:B55)</f>
        <v>0</v>
      </c>
      <c r="C56" s="28">
        <f>C55</f>
        <v>0</v>
      </c>
      <c r="D56" s="29"/>
      <c r="E56" s="29"/>
      <c r="F56" s="29"/>
      <c r="G56" s="29"/>
      <c r="H56" s="29" t="s">
        <v>36</v>
      </c>
      <c r="I56" s="30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Jahresübersicht</vt:lpstr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TU-Pseudonym 2777597812263130</cp:lastModifiedBy>
  <dcterms:created xsi:type="dcterms:W3CDTF">2025-11-27T01:18:43Z</dcterms:created>
  <dcterms:modified xsi:type="dcterms:W3CDTF">2025-11-27T20:16:21Z</dcterms:modified>
</cp:coreProperties>
</file>